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thil\Desktop\"/>
    </mc:Choice>
  </mc:AlternateContent>
  <xr:revisionPtr revIDLastSave="0" documentId="13_ncr:1_{3423D2E4-3BFC-4161-B26A-1CCD714DD807}" xr6:coauthVersionLast="45" xr6:coauthVersionMax="45" xr10:uidLastSave="{00000000-0000-0000-0000-000000000000}"/>
  <bookViews>
    <workbookView xWindow="0" yWindow="0" windowWidth="28800" windowHeight="15600" activeTab="1" xr2:uid="{E03FAD45-DA8D-4B2E-8A4B-29F965A8934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2" l="1"/>
  <c r="E18" i="2" s="1"/>
  <c r="G13" i="2"/>
  <c r="G20" i="2" s="1"/>
  <c r="G18" i="2" l="1"/>
  <c r="G21" i="2"/>
  <c r="G22" i="2"/>
  <c r="G19" i="2"/>
  <c r="G23" i="2"/>
  <c r="E22" i="2"/>
  <c r="E23" i="2"/>
  <c r="E19" i="2"/>
  <c r="E20" i="2"/>
  <c r="E21" i="2"/>
  <c r="G24" i="2" l="1"/>
  <c r="E24" i="2"/>
  <c r="E25" i="2" l="1"/>
  <c r="E26" i="2" s="1"/>
  <c r="G25" i="2"/>
  <c r="G26" i="2" s="1"/>
  <c r="F17" i="1" l="1"/>
  <c r="F5" i="1"/>
  <c r="F10" i="1" s="1"/>
  <c r="H10" i="1"/>
  <c r="G10" i="1"/>
  <c r="E10" i="1"/>
  <c r="F9" i="1"/>
  <c r="F8" i="1"/>
  <c r="F7" i="1"/>
  <c r="F6" i="1"/>
  <c r="E9" i="1"/>
  <c r="E8" i="1"/>
  <c r="E7" i="1"/>
  <c r="E6" i="1"/>
  <c r="E5" i="1"/>
  <c r="H9" i="1"/>
  <c r="H8" i="1"/>
  <c r="H7" i="1"/>
  <c r="H6" i="1"/>
  <c r="G6" i="1"/>
  <c r="H5" i="1"/>
  <c r="H4" i="1"/>
  <c r="G9" i="1"/>
  <c r="G8" i="1"/>
  <c r="G7" i="1"/>
  <c r="G5" i="1"/>
  <c r="G4" i="1"/>
</calcChain>
</file>

<file path=xl/sharedStrings.xml><?xml version="1.0" encoding="utf-8"?>
<sst xmlns="http://schemas.openxmlformats.org/spreadsheetml/2006/main" count="52" uniqueCount="39">
  <si>
    <t>Tax Slab</t>
  </si>
  <si>
    <t>Up to 2.50 lac</t>
  </si>
  <si>
    <t>Old</t>
  </si>
  <si>
    <t>New Rates</t>
  </si>
  <si>
    <t>Old With Saving</t>
  </si>
  <si>
    <t>Old without Saving</t>
  </si>
  <si>
    <t>New Amount</t>
  </si>
  <si>
    <t>Rs. 2.50 to 5.00 Lac</t>
  </si>
  <si>
    <t>Rs. 5.00 to 7.50 Lac</t>
  </si>
  <si>
    <t>Rs. 7.50 to 10.00 Lac</t>
  </si>
  <si>
    <t>Rs. 10.00 Lac to 12.50 lac</t>
  </si>
  <si>
    <t>Rs. 12.50 Lac to 15.00 Lac</t>
  </si>
  <si>
    <t>Nil</t>
  </si>
  <si>
    <t>80C</t>
  </si>
  <si>
    <t>HRA</t>
  </si>
  <si>
    <t>NPS</t>
  </si>
  <si>
    <t>Disabled person (80U)</t>
  </si>
  <si>
    <t>Disabled Dependant</t>
  </si>
  <si>
    <t>Rs. 15.00 Lac to Above</t>
  </si>
  <si>
    <t>Medical Insurance</t>
  </si>
  <si>
    <t>Old With Saving &amp; Housing Loan</t>
  </si>
  <si>
    <t>Total</t>
  </si>
  <si>
    <t>Hosuing Loan</t>
  </si>
  <si>
    <t>Parents Medical Insurance Age above 60</t>
  </si>
  <si>
    <t>Salary</t>
  </si>
  <si>
    <t>80CC (PF, PPF, LIC, School Fees, etc)</t>
  </si>
  <si>
    <t>Medical Insurance Parents</t>
  </si>
  <si>
    <t>Housing Loan</t>
  </si>
  <si>
    <t>Max Limit</t>
  </si>
  <si>
    <t>Amount</t>
  </si>
  <si>
    <t>Taxable income</t>
  </si>
  <si>
    <t>Old Percentage</t>
  </si>
  <si>
    <t>Old Amount</t>
  </si>
  <si>
    <t>New Percentage</t>
  </si>
  <si>
    <t>Toal Amount</t>
  </si>
  <si>
    <t>Description</t>
  </si>
  <si>
    <t>Standard Deduction (Rs.)</t>
  </si>
  <si>
    <t>CESS (4%)</t>
  </si>
  <si>
    <t>Total 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</si>
</sst>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9" fontId="0" fillId="0" borderId="0" xfId="0" applyNumberFormat="1"/>
    <xf numFmtId="0" fontId="0" fillId="2" borderId="1" xfId="0" applyFill="1" applyBorder="1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0" fillId="2" borderId="2" xfId="0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6" fillId="5" borderId="1" xfId="0" applyFont="1" applyFill="1" applyBorder="1"/>
    <xf numFmtId="164" fontId="5" fillId="3" borderId="1" xfId="0" applyNumberFormat="1" applyFont="1" applyFill="1" applyBorder="1"/>
    <xf numFmtId="164" fontId="4" fillId="0" borderId="1" xfId="0" applyNumberFormat="1" applyFont="1" applyBorder="1"/>
    <xf numFmtId="164" fontId="7" fillId="6" borderId="1" xfId="0" applyNumberFormat="1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0" borderId="1" xfId="0" applyFont="1" applyBorder="1"/>
    <xf numFmtId="9" fontId="8" fillId="0" borderId="1" xfId="0" applyNumberFormat="1" applyFont="1" applyBorder="1"/>
    <xf numFmtId="0" fontId="8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ED3B-7A3B-4E51-B410-A33148D50510}">
  <dimension ref="B2:H23"/>
  <sheetViews>
    <sheetView workbookViewId="0">
      <selection activeCell="H9" sqref="H9"/>
    </sheetView>
  </sheetViews>
  <sheetFormatPr defaultRowHeight="15" x14ac:dyDescent="0.25"/>
  <cols>
    <col min="2" max="2" width="27.140625" customWidth="1"/>
    <col min="3" max="3" width="15.7109375" customWidth="1"/>
    <col min="4" max="4" width="37.140625" bestFit="1" customWidth="1"/>
    <col min="5" max="5" width="15.7109375" customWidth="1"/>
    <col min="6" max="6" width="29.7109375" bestFit="1" customWidth="1"/>
    <col min="7" max="7" width="20.140625" customWidth="1"/>
    <col min="8" max="8" width="22.42578125" bestFit="1" customWidth="1"/>
  </cols>
  <sheetData>
    <row r="2" spans="2:8" ht="18.75" customHeight="1" x14ac:dyDescent="0.25">
      <c r="B2" s="6" t="s">
        <v>0</v>
      </c>
      <c r="C2" s="6" t="s">
        <v>2</v>
      </c>
      <c r="D2" s="6" t="s">
        <v>3</v>
      </c>
      <c r="E2" s="6" t="s">
        <v>4</v>
      </c>
      <c r="F2" s="6" t="s">
        <v>20</v>
      </c>
      <c r="G2" s="6" t="s">
        <v>5</v>
      </c>
      <c r="H2" s="6" t="s">
        <v>6</v>
      </c>
    </row>
    <row r="3" spans="2:8" ht="18.75" customHeight="1" x14ac:dyDescent="0.25">
      <c r="B3" s="2" t="s">
        <v>1</v>
      </c>
      <c r="C3" s="3" t="s">
        <v>12</v>
      </c>
      <c r="D3" s="3" t="s">
        <v>12</v>
      </c>
      <c r="E3" s="3">
        <v>0</v>
      </c>
      <c r="F3" s="3">
        <v>0</v>
      </c>
      <c r="G3" s="3">
        <v>0</v>
      </c>
      <c r="H3" s="3">
        <v>0</v>
      </c>
    </row>
    <row r="4" spans="2:8" ht="18.75" customHeight="1" x14ac:dyDescent="0.25">
      <c r="B4" s="2" t="s">
        <v>7</v>
      </c>
      <c r="C4" s="4">
        <v>0.05</v>
      </c>
      <c r="D4" s="4">
        <v>0.05</v>
      </c>
      <c r="E4" s="3">
        <v>0</v>
      </c>
      <c r="F4" s="3">
        <v>0</v>
      </c>
      <c r="G4" s="3">
        <f>(250000*5)/100</f>
        <v>12500</v>
      </c>
      <c r="H4" s="3">
        <f>(250000*5)/100</f>
        <v>12500</v>
      </c>
    </row>
    <row r="5" spans="2:8" ht="18.75" customHeight="1" x14ac:dyDescent="0.25">
      <c r="B5" s="2" t="s">
        <v>8</v>
      </c>
      <c r="C5" s="4">
        <v>0.2</v>
      </c>
      <c r="D5" s="4">
        <v>0.1</v>
      </c>
      <c r="E5" s="3">
        <f>(50000*20)/100</f>
        <v>10000</v>
      </c>
      <c r="F5" s="3">
        <f>(250000*20)/100</f>
        <v>50000</v>
      </c>
      <c r="G5" s="3">
        <f>(250000*20)/100</f>
        <v>50000</v>
      </c>
      <c r="H5" s="3">
        <f>(250000*10)/100</f>
        <v>25000</v>
      </c>
    </row>
    <row r="6" spans="2:8" ht="18.75" customHeight="1" x14ac:dyDescent="0.25">
      <c r="B6" s="2" t="s">
        <v>9</v>
      </c>
      <c r="C6" s="4">
        <v>0.2</v>
      </c>
      <c r="D6" s="4">
        <v>0.15</v>
      </c>
      <c r="E6" s="3">
        <f>(250000*20)/100</f>
        <v>50000</v>
      </c>
      <c r="F6" s="3">
        <f>(250000*20)/100</f>
        <v>50000</v>
      </c>
      <c r="G6" s="3">
        <f>(250000*20)/100</f>
        <v>50000</v>
      </c>
      <c r="H6" s="3">
        <f>(250000*15)/100</f>
        <v>37500</v>
      </c>
    </row>
    <row r="7" spans="2:8" ht="18.75" customHeight="1" x14ac:dyDescent="0.25">
      <c r="B7" s="2" t="s">
        <v>10</v>
      </c>
      <c r="C7" s="4">
        <v>0.3</v>
      </c>
      <c r="D7" s="4">
        <v>0.2</v>
      </c>
      <c r="E7" s="3">
        <f t="shared" ref="E7:G8" si="0">(250000*30)/100</f>
        <v>75000</v>
      </c>
      <c r="F7" s="3">
        <f t="shared" si="0"/>
        <v>75000</v>
      </c>
      <c r="G7" s="3">
        <f t="shared" si="0"/>
        <v>75000</v>
      </c>
      <c r="H7" s="3">
        <f>(250000*20)/100</f>
        <v>50000</v>
      </c>
    </row>
    <row r="8" spans="2:8" ht="18.75" customHeight="1" x14ac:dyDescent="0.25">
      <c r="B8" s="2" t="s">
        <v>11</v>
      </c>
      <c r="C8" s="4">
        <v>0.3</v>
      </c>
      <c r="D8" s="4">
        <v>0.25</v>
      </c>
      <c r="E8" s="3">
        <f t="shared" si="0"/>
        <v>75000</v>
      </c>
      <c r="F8" s="3">
        <f t="shared" si="0"/>
        <v>75000</v>
      </c>
      <c r="G8" s="3">
        <f t="shared" si="0"/>
        <v>75000</v>
      </c>
      <c r="H8" s="3">
        <f>(250000*25)/100</f>
        <v>62500</v>
      </c>
    </row>
    <row r="9" spans="2:8" ht="18.75" customHeight="1" x14ac:dyDescent="0.25">
      <c r="B9" s="2" t="s">
        <v>18</v>
      </c>
      <c r="C9" s="4">
        <v>0.3</v>
      </c>
      <c r="D9" s="4">
        <v>0.3</v>
      </c>
      <c r="E9" s="3">
        <f>(250000*30)/100</f>
        <v>75000</v>
      </c>
      <c r="F9" s="3">
        <f>(250000*30)/100</f>
        <v>75000</v>
      </c>
      <c r="G9" s="3">
        <f>(500000*30)/100</f>
        <v>150000</v>
      </c>
      <c r="H9" s="3">
        <f>(250000*30)/100</f>
        <v>75000</v>
      </c>
    </row>
    <row r="10" spans="2:8" ht="18.75" customHeight="1" x14ac:dyDescent="0.25">
      <c r="B10" s="3"/>
      <c r="C10" s="3"/>
      <c r="D10" s="5" t="s">
        <v>21</v>
      </c>
      <c r="E10" s="5">
        <f>SUM(E3:E9)</f>
        <v>285000</v>
      </c>
      <c r="F10" s="5">
        <f>SUM(F3:F9)</f>
        <v>325000</v>
      </c>
      <c r="G10" s="5">
        <f>SUM(G3:G9)</f>
        <v>412500</v>
      </c>
      <c r="H10" s="5">
        <f>SUM(H3:H9)</f>
        <v>262500</v>
      </c>
    </row>
    <row r="12" spans="2:8" x14ac:dyDescent="0.25">
      <c r="D12" t="s">
        <v>13</v>
      </c>
      <c r="E12">
        <v>150000</v>
      </c>
    </row>
    <row r="13" spans="2:8" x14ac:dyDescent="0.25">
      <c r="D13" t="s">
        <v>14</v>
      </c>
      <c r="E13">
        <v>100000</v>
      </c>
    </row>
    <row r="14" spans="2:8" x14ac:dyDescent="0.25">
      <c r="D14" t="s">
        <v>19</v>
      </c>
      <c r="E14">
        <v>15000</v>
      </c>
    </row>
    <row r="15" spans="2:8" x14ac:dyDescent="0.25">
      <c r="D15" t="s">
        <v>23</v>
      </c>
      <c r="E15">
        <v>50000</v>
      </c>
    </row>
    <row r="16" spans="2:8" x14ac:dyDescent="0.25">
      <c r="D16" t="s">
        <v>22</v>
      </c>
      <c r="E16">
        <v>200000</v>
      </c>
      <c r="F16">
        <v>500000</v>
      </c>
    </row>
    <row r="17" spans="4:6" x14ac:dyDescent="0.25">
      <c r="D17" t="s">
        <v>15</v>
      </c>
      <c r="E17">
        <v>50000</v>
      </c>
      <c r="F17">
        <f>SUM(E12:E17)</f>
        <v>565000</v>
      </c>
    </row>
    <row r="18" spans="4:6" x14ac:dyDescent="0.25">
      <c r="D18" t="s">
        <v>16</v>
      </c>
    </row>
    <row r="19" spans="4:6" x14ac:dyDescent="0.25">
      <c r="D19" s="1">
        <v>0.4</v>
      </c>
      <c r="E19">
        <v>75000</v>
      </c>
    </row>
    <row r="20" spans="4:6" x14ac:dyDescent="0.25">
      <c r="D20" s="1">
        <v>0.8</v>
      </c>
      <c r="E20">
        <v>125000</v>
      </c>
    </row>
    <row r="21" spans="4:6" x14ac:dyDescent="0.25">
      <c r="D21" t="s">
        <v>17</v>
      </c>
    </row>
    <row r="22" spans="4:6" x14ac:dyDescent="0.25">
      <c r="D22" s="1">
        <v>0.4</v>
      </c>
      <c r="E22">
        <v>75000</v>
      </c>
    </row>
    <row r="23" spans="4:6" x14ac:dyDescent="0.25">
      <c r="D23" s="1">
        <v>0.8</v>
      </c>
      <c r="E23">
        <v>125000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ED08-C9EA-4E56-9542-82ECA24A843E}">
  <dimension ref="C3:G26"/>
  <sheetViews>
    <sheetView tabSelected="1" zoomScale="80" zoomScaleNormal="80" workbookViewId="0">
      <selection activeCell="D10" sqref="D10"/>
    </sheetView>
  </sheetViews>
  <sheetFormatPr defaultRowHeight="15" x14ac:dyDescent="0.25"/>
  <cols>
    <col min="3" max="3" width="34.5703125" customWidth="1"/>
    <col min="4" max="4" width="26.85546875" bestFit="1" customWidth="1"/>
    <col min="5" max="5" width="22.7109375" customWidth="1"/>
    <col min="6" max="6" width="20.28515625" bestFit="1" customWidth="1"/>
    <col min="7" max="7" width="21.42578125" customWidth="1"/>
  </cols>
  <sheetData>
    <row r="3" spans="3:7" ht="20.25" customHeight="1" x14ac:dyDescent="0.25">
      <c r="C3" s="22" t="s">
        <v>35</v>
      </c>
      <c r="D3" s="23" t="s">
        <v>29</v>
      </c>
      <c r="E3" s="23" t="s">
        <v>28</v>
      </c>
    </row>
    <row r="4" spans="3:7" ht="20.25" customHeight="1" x14ac:dyDescent="0.35">
      <c r="C4" s="18" t="s">
        <v>24</v>
      </c>
      <c r="D4" s="21">
        <v>750000</v>
      </c>
      <c r="E4" s="17"/>
    </row>
    <row r="5" spans="3:7" ht="20.25" customHeight="1" x14ac:dyDescent="0.25">
      <c r="C5" s="18" t="s">
        <v>36</v>
      </c>
      <c r="D5" s="25">
        <v>50000</v>
      </c>
      <c r="E5" s="27"/>
    </row>
    <row r="6" spans="3:7" ht="20.25" customHeight="1" x14ac:dyDescent="0.25">
      <c r="C6" s="18" t="s">
        <v>25</v>
      </c>
      <c r="D6" s="25"/>
      <c r="E6" s="27">
        <v>150000</v>
      </c>
    </row>
    <row r="7" spans="3:7" ht="20.25" customHeight="1" x14ac:dyDescent="0.25">
      <c r="C7" s="18" t="s">
        <v>14</v>
      </c>
      <c r="D7" s="25"/>
      <c r="E7" s="27"/>
    </row>
    <row r="8" spans="3:7" ht="20.25" customHeight="1" x14ac:dyDescent="0.25">
      <c r="C8" s="18" t="s">
        <v>26</v>
      </c>
      <c r="D8" s="25"/>
      <c r="E8" s="27">
        <v>50000</v>
      </c>
    </row>
    <row r="9" spans="3:7" ht="20.25" customHeight="1" x14ac:dyDescent="0.25">
      <c r="C9" s="18" t="s">
        <v>15</v>
      </c>
      <c r="D9" s="25">
        <v>50000</v>
      </c>
      <c r="E9" s="27">
        <v>50000</v>
      </c>
    </row>
    <row r="10" spans="3:7" ht="20.25" customHeight="1" x14ac:dyDescent="0.25">
      <c r="C10" s="18" t="s">
        <v>27</v>
      </c>
      <c r="D10" s="25"/>
      <c r="E10" s="27">
        <v>200000</v>
      </c>
    </row>
    <row r="11" spans="3:7" ht="20.25" customHeight="1" x14ac:dyDescent="0.25">
      <c r="C11" s="18" t="s">
        <v>16</v>
      </c>
      <c r="D11" s="25"/>
      <c r="E11" s="27">
        <v>125000</v>
      </c>
    </row>
    <row r="13" spans="3:7" ht="20.25" customHeight="1" x14ac:dyDescent="0.35">
      <c r="C13" s="9" t="s">
        <v>30</v>
      </c>
      <c r="D13" s="10"/>
      <c r="E13" s="20">
        <f>D4-(D5+D6+D7+D8+D9+D10+D11)</f>
        <v>650000</v>
      </c>
      <c r="F13" s="10"/>
      <c r="G13" s="20">
        <f>D4-D9</f>
        <v>700000</v>
      </c>
    </row>
    <row r="16" spans="3:7" ht="21" customHeight="1" x14ac:dyDescent="0.25">
      <c r="C16" s="23" t="s">
        <v>0</v>
      </c>
      <c r="D16" s="23" t="s">
        <v>31</v>
      </c>
      <c r="E16" s="23" t="s">
        <v>32</v>
      </c>
      <c r="F16" s="23" t="s">
        <v>33</v>
      </c>
      <c r="G16" s="23" t="s">
        <v>6</v>
      </c>
    </row>
    <row r="17" spans="3:7" ht="21" customHeight="1" x14ac:dyDescent="0.25">
      <c r="C17" s="24" t="s">
        <v>1</v>
      </c>
      <c r="D17" s="25">
        <v>0</v>
      </c>
      <c r="E17" s="25">
        <v>0</v>
      </c>
      <c r="F17" s="25">
        <v>0</v>
      </c>
      <c r="G17" s="25">
        <v>0</v>
      </c>
    </row>
    <row r="18" spans="3:7" ht="21" customHeight="1" x14ac:dyDescent="0.25">
      <c r="C18" s="24" t="s">
        <v>7</v>
      </c>
      <c r="D18" s="26">
        <v>0.05</v>
      </c>
      <c r="E18" s="25">
        <f>IF((E13-250000)&lt;=0,0,IF((E13-250000)&lt;=250000,0,((250000*5)/100)))</f>
        <v>12500</v>
      </c>
      <c r="F18" s="26">
        <v>0.05</v>
      </c>
      <c r="G18" s="25">
        <f>IF((G13-250000)&lt;=0,0,IF((G13-250000)&lt;=250000,0,((250000*5)/100)))</f>
        <v>12500</v>
      </c>
    </row>
    <row r="19" spans="3:7" ht="21" customHeight="1" x14ac:dyDescent="0.25">
      <c r="C19" s="24" t="s">
        <v>8</v>
      </c>
      <c r="D19" s="26">
        <v>0.2</v>
      </c>
      <c r="E19" s="25">
        <f>IF((E13-500000)&lt;=0,0,IF((E13-500000)&lt;=250000,(((E13-500000)*20)/100),((250000*20)/100)))</f>
        <v>30000</v>
      </c>
      <c r="F19" s="26">
        <v>0.1</v>
      </c>
      <c r="G19" s="25">
        <f>IF((G13-500000)&lt;=0,0,IF((G13-500000)&lt;=250000,(((G13-500000)*10)/100),((250000*10)/100)))</f>
        <v>20000</v>
      </c>
    </row>
    <row r="20" spans="3:7" ht="21" customHeight="1" x14ac:dyDescent="0.25">
      <c r="C20" s="24" t="s">
        <v>9</v>
      </c>
      <c r="D20" s="26">
        <v>0.2</v>
      </c>
      <c r="E20" s="25">
        <f>IF((E13-750000)&lt;=0,0,IF((E13-750000)&lt;=250000,(((E13-750000)*20)/100),((250000*20)/100)))</f>
        <v>0</v>
      </c>
      <c r="F20" s="26">
        <v>0.15</v>
      </c>
      <c r="G20" s="25">
        <f>IF((G13-750000)&lt;=0,0,IF((G13-750000)&lt;=250000,(((G13-750000)*15)/100),((250000*15)/100)))</f>
        <v>0</v>
      </c>
    </row>
    <row r="21" spans="3:7" ht="21" customHeight="1" x14ac:dyDescent="0.25">
      <c r="C21" s="24" t="s">
        <v>10</v>
      </c>
      <c r="D21" s="26">
        <v>0.3</v>
      </c>
      <c r="E21" s="25">
        <f>IF((E13-1000000)&lt;=0,0,IF((E13-1000000)&lt;=250000,(((E13-1000000)*30)/100),((250000*30)/100)))</f>
        <v>0</v>
      </c>
      <c r="F21" s="26">
        <v>0.2</v>
      </c>
      <c r="G21" s="25">
        <f>IF((G13-1000000)&lt;=0,0,IF((G13-1000000)&lt;=250000,(((G13-1000000)*20)/100),((250000*20)/100)))</f>
        <v>0</v>
      </c>
    </row>
    <row r="22" spans="3:7" ht="21" customHeight="1" x14ac:dyDescent="0.25">
      <c r="C22" s="24" t="s">
        <v>11</v>
      </c>
      <c r="D22" s="26">
        <v>0.3</v>
      </c>
      <c r="E22" s="25">
        <f>IF((E13-1250000)&lt;=0,0,IF((E13-1250000)&lt;=250000,(((E13-1250000)*30)/100),((250000*30)/100)))</f>
        <v>0</v>
      </c>
      <c r="F22" s="26">
        <v>0.25</v>
      </c>
      <c r="G22" s="25">
        <f>IF((G13-1250000)&lt;=0,0,IF((G13-1250000)&lt;=250000,(((G13-1250000)*25)/100),((250000*25)/100)))</f>
        <v>0</v>
      </c>
    </row>
    <row r="23" spans="3:7" ht="21" customHeight="1" x14ac:dyDescent="0.25">
      <c r="C23" s="24" t="s">
        <v>18</v>
      </c>
      <c r="D23" s="26">
        <v>0.3</v>
      </c>
      <c r="E23" s="25">
        <f>IF((E13-1500000)&lt;=0,0,((E13-1500000)*30)/100)</f>
        <v>0</v>
      </c>
      <c r="F23" s="26">
        <v>0.3</v>
      </c>
      <c r="G23" s="25">
        <f>IF((G13-1500000)&lt;=0,0,((G13-1500000)*30)/100)</f>
        <v>0</v>
      </c>
    </row>
    <row r="24" spans="3:7" ht="21" customHeight="1" x14ac:dyDescent="0.3">
      <c r="C24" s="11"/>
      <c r="D24" s="7" t="s">
        <v>34</v>
      </c>
      <c r="E24" s="8">
        <f>SUM(E17:E23)</f>
        <v>42500</v>
      </c>
      <c r="F24" s="8"/>
      <c r="G24" s="8">
        <f>SUM(G17:G23)</f>
        <v>32500</v>
      </c>
    </row>
    <row r="25" spans="3:7" ht="21" customHeight="1" x14ac:dyDescent="0.3">
      <c r="C25" s="3"/>
      <c r="D25" s="12" t="s">
        <v>37</v>
      </c>
      <c r="E25" s="13">
        <f>(E24*4)/100</f>
        <v>1700</v>
      </c>
      <c r="F25" s="13"/>
      <c r="G25" s="13">
        <f>(G24*4)/100</f>
        <v>1300</v>
      </c>
    </row>
    <row r="26" spans="3:7" ht="21" customHeight="1" x14ac:dyDescent="0.35">
      <c r="C26" s="16"/>
      <c r="D26" s="14" t="s">
        <v>38</v>
      </c>
      <c r="E26" s="19">
        <f>E24+E25</f>
        <v>44200</v>
      </c>
      <c r="F26" s="15"/>
      <c r="G26" s="19">
        <f>G24+G25</f>
        <v>33800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SVJ Tech Tamil - Tax Calculator</dc:title>
  <dc:creator>Senthil</dc:creator>
  <cp:lastModifiedBy>Senthil</cp:lastModifiedBy>
  <dcterms:created xsi:type="dcterms:W3CDTF">2020-02-02T12:42:11Z</dcterms:created>
  <dcterms:modified xsi:type="dcterms:W3CDTF">2020-02-04T04:42:59Z</dcterms:modified>
  <cp:category>YouTube Channel</cp:category>
</cp:coreProperties>
</file>